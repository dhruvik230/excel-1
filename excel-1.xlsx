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D863B059-0322-4A58-B7D7-9E72E837B611}" xr6:coauthVersionLast="47" xr6:coauthVersionMax="47" xr10:uidLastSave="{00000000-0000-0000-0000-000000000000}"/>
  <bookViews>
    <workbookView xWindow="-120" yWindow="-120" windowWidth="29040" windowHeight="15720" activeTab="2" xr2:uid="{7B426BB9-2881-4723-933C-A067995DA990}"/>
  </bookViews>
  <sheets>
    <sheet name="Students Grade" sheetId="3" r:id="rId1"/>
    <sheet name="Sales Data" sheetId="1" r:id="rId2"/>
    <sheet name="Employees 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5" i="3" l="1" a="1"/>
  <c r="A25" i="3" s="1"/>
  <c r="H18" i="2"/>
  <c r="G18" i="2"/>
  <c r="H15" i="2"/>
  <c r="H12" i="2"/>
  <c r="H5" i="2"/>
  <c r="M8" i="1" a="1"/>
  <c r="M8" i="1" s="1"/>
  <c r="A25" i="1"/>
  <c r="H7" i="2"/>
  <c r="H9" i="2"/>
  <c r="H8" i="2"/>
  <c r="J25" i="1"/>
  <c r="B25" i="1"/>
  <c r="C25" i="1"/>
  <c r="J15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6" i="1"/>
  <c r="J17" i="1"/>
  <c r="J18" i="1"/>
  <c r="J19" i="1"/>
  <c r="J20" i="1"/>
  <c r="J21" i="1"/>
  <c r="H12" i="1" a="1"/>
  <c r="H12" i="1" s="1"/>
  <c r="I12" i="1" s="1"/>
  <c r="G2" i="1" a="1"/>
  <c r="G2" i="1" s="1"/>
  <c r="H2" i="1" a="1"/>
  <c r="H2" i="1"/>
  <c r="I2" i="1" s="1"/>
  <c r="G3" i="1" a="1"/>
  <c r="G3" i="1"/>
  <c r="H3" i="1" a="1"/>
  <c r="H3" i="1"/>
  <c r="I3" i="1" s="1"/>
  <c r="G4" i="1" a="1"/>
  <c r="G4" i="1" s="1"/>
  <c r="H4" i="1" a="1"/>
  <c r="H4" i="1"/>
  <c r="I4" i="1" s="1"/>
  <c r="G5" i="1" a="1"/>
  <c r="G5" i="1" s="1"/>
  <c r="H5" i="1" a="1"/>
  <c r="H5" i="1" s="1"/>
  <c r="I5" i="1" s="1"/>
  <c r="G6" i="1" a="1"/>
  <c r="G6" i="1"/>
  <c r="H6" i="1" a="1"/>
  <c r="H6" i="1"/>
  <c r="M21" i="1" s="1"/>
  <c r="G7" i="1" a="1"/>
  <c r="G7" i="1"/>
  <c r="H7" i="1" a="1"/>
  <c r="H7" i="1"/>
  <c r="I7" i="1" s="1"/>
  <c r="F25" i="1" s="1"/>
  <c r="G8" i="1" a="1"/>
  <c r="G8" i="1" s="1"/>
  <c r="H8" i="1" a="1"/>
  <c r="H8" i="1"/>
  <c r="I8" i="1" s="1"/>
  <c r="E25" i="1" s="1"/>
  <c r="G9" i="1" a="1"/>
  <c r="G9" i="1" s="1"/>
  <c r="H9" i="1" a="1"/>
  <c r="H9" i="1"/>
  <c r="I9" i="1" s="1"/>
  <c r="G10" i="1" a="1"/>
  <c r="G10" i="1"/>
  <c r="H10" i="1" a="1"/>
  <c r="H10" i="1" s="1"/>
  <c r="I10" i="1" s="1"/>
  <c r="G11" i="1" a="1"/>
  <c r="G11" i="1" s="1"/>
  <c r="H11" i="1" a="1"/>
  <c r="H11" i="1" s="1"/>
  <c r="I11" i="1" s="1"/>
  <c r="G12" i="1" a="1"/>
  <c r="G12" i="1"/>
  <c r="G13" i="1" a="1"/>
  <c r="G13" i="1"/>
  <c r="H13" i="1" a="1"/>
  <c r="H13" i="1"/>
  <c r="I13" i="1" s="1"/>
  <c r="G14" i="1" a="1"/>
  <c r="G14" i="1"/>
  <c r="H14" i="1" a="1"/>
  <c r="H14" i="1"/>
  <c r="I14" i="1" s="1"/>
  <c r="G15" i="1" a="1"/>
  <c r="G15" i="1"/>
  <c r="H15" i="1" a="1"/>
  <c r="H15" i="1"/>
  <c r="I15" i="1" s="1"/>
  <c r="G16" i="1" a="1"/>
  <c r="G16" i="1"/>
  <c r="H16" i="1" a="1"/>
  <c r="H16" i="1"/>
  <c r="I16" i="1" s="1"/>
  <c r="G17" i="1" a="1"/>
  <c r="G17" i="1"/>
  <c r="H17" i="1" a="1"/>
  <c r="H17" i="1"/>
  <c r="I17" i="1" s="1"/>
  <c r="G18" i="1" a="1"/>
  <c r="G18" i="1"/>
  <c r="H18" i="1" a="1"/>
  <c r="H18" i="1"/>
  <c r="I18" i="1" s="1"/>
  <c r="G25" i="1" s="1"/>
  <c r="G19" i="1" a="1"/>
  <c r="G19" i="1"/>
  <c r="H19" i="1" a="1"/>
  <c r="H19" i="1"/>
  <c r="I19" i="1" s="1"/>
  <c r="G20" i="1" a="1"/>
  <c r="G20" i="1"/>
  <c r="H20" i="1" a="1"/>
  <c r="H20" i="1"/>
  <c r="I20" i="1" s="1"/>
  <c r="G21" i="1" a="1"/>
  <c r="G21" i="1" s="1"/>
  <c r="H21" i="1" a="1"/>
  <c r="H21" i="1" s="1"/>
  <c r="I21" i="1" s="1"/>
  <c r="M18" i="1"/>
  <c r="M15" i="1" l="1"/>
  <c r="I6" i="1"/>
  <c r="M5" i="1"/>
  <c r="M12" i="1" a="1"/>
  <c r="M12" i="1" s="1"/>
  <c r="H1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<sst xmlns="http://schemas.openxmlformats.org/spreadsheetml/2006/main" count="243" uniqueCount="140">
  <si>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</si>
  <si>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</si>
  <si>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</si>
  <si>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</si>
  <si>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</si>
  <si>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</si>
  <si>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</si>
  <si>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</si>
  <si>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</si>
  <si>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</si>
  <si>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</si>
  <si>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</si>
  <si>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</si>
  <si>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</si>
  <si>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</si>
  <si>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</si>
  <si>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</si>
  <si>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</si>
  <si>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</si>
  <si>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</si>
  <si>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</si>
  <si>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</si>
  <si>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</si>
  <si>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</si>
  <si>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</si>
  <si>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</si>
  <si>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</si>
  <si>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</si>
  <si>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</si>
  <si>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</si>
  <si>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</si>
  <si>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</si>
  <si>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</si>
  <si>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</si>
  <si>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</si>
  <si>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</si>
  <si>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Name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</si>
  <si>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</si>
  <si>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</si>
  <si>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</si>
  <si>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</si>
  <si>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</si>
  <si>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</si>
  <si>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</si>
  <si>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</si>
  <si>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</si>
  <si>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</si>
  <si>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</si>
  <si>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</si>
  <si>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</si>
  <si>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</si>
  <si>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</si>
  <si>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</si>
  <si>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</si>
  <si>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</si>
  <si>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</si>
  <si>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</si>
  <si>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</si>
  <si>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</si>
  <si>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</si>
  <si>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</si>
  <si>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</si>
  <si>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</si>
  <si>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</si>
  <si>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</si>
  <si>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</si>
  <si>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</si>
  <si>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</si>
  <si>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</si>
  <si>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</si>
  <si>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</si>
  <si>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</si>
  <si>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</si>
  <si>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</si>
  <si>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</si>
  <si>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</si>
  <si>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</si>
  <si>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</si>
  <si>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</si>
  <si>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</si>
  <si>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</si>
  <si>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</si>
  <si>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</si>
  <si>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</si>
  <si>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</si>
  <si>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</si>
  <si>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</si>
  <si>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Grade</t>
  </si>
  <si>
    <t>Total</t>
  </si>
  <si>
    <t>E2:E6</t>
  </si>
  <si>
    <t>Discount</t>
  </si>
  <si>
    <t>Discount Amount</t>
  </si>
  <si>
    <t>Student Id</t>
  </si>
  <si>
    <t>Maths</t>
  </si>
  <si>
    <t>Average Marks</t>
  </si>
  <si>
    <t>C</t>
  </si>
  <si>
    <t>No</t>
  </si>
  <si>
    <t>B</t>
  </si>
  <si>
    <t>6/30/2018</t>
  </si>
  <si>
    <t>12/27/2018</t>
  </si>
  <si>
    <t>Fail</t>
  </si>
  <si>
    <t>6/25/2019</t>
  </si>
  <si>
    <t>12/22/2019</t>
  </si>
  <si>
    <t>6/19/2020</t>
  </si>
  <si>
    <t>12/16/2020</t>
  </si>
  <si>
    <t>6/14/2021</t>
  </si>
  <si>
    <t>A</t>
  </si>
  <si>
    <t>Yes</t>
  </si>
  <si>
    <t>5/29/2024</t>
  </si>
  <si>
    <t>11/25/2024</t>
  </si>
  <si>
    <t>5/24/2025</t>
  </si>
  <si>
    <t>11/20/2025</t>
  </si>
  <si>
    <t>5/19/2026</t>
  </si>
  <si>
    <t>11/15/2026</t>
  </si>
  <si>
    <t>5/14/2027</t>
  </si>
  <si>
    <t>Discount Eligible</t>
  </si>
  <si>
    <t>Sum Total Sales of particular region</t>
  </si>
  <si>
    <t>Value of sale from specific Salesperson</t>
  </si>
  <si>
    <t>Result</t>
  </si>
  <si>
    <t>Total Sales</t>
  </si>
  <si>
    <t>&gt; 50 Maths</t>
  </si>
  <si>
    <t>&gt; 60 Average</t>
  </si>
  <si>
    <t>VLOOKUP</t>
  </si>
  <si>
    <t>&gt;80 Score</t>
  </si>
  <si>
    <t>Employee details without column restrictions</t>
  </si>
  <si>
    <t>XLOOKUP</t>
  </si>
  <si>
    <t>UPPER</t>
  </si>
  <si>
    <t>LEFT</t>
  </si>
  <si>
    <t>LOWER</t>
  </si>
  <si>
    <t>XMATCH</t>
  </si>
  <si>
    <t>Calculation of age by currect date and dob</t>
  </si>
  <si>
    <t>Difference Between Two dates</t>
  </si>
  <si>
    <t>Total Sales Sum</t>
  </si>
  <si>
    <t>Floor</t>
  </si>
  <si>
    <t>Ceiling</t>
  </si>
  <si>
    <t>Round</t>
  </si>
  <si>
    <t>INDIRECT</t>
  </si>
  <si>
    <t>OFFSET</t>
  </si>
  <si>
    <t>Retrieve product price using id</t>
  </si>
  <si>
    <t>Filter list of Top performing students with FILTER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</si>
</sst>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 [$₹-439]* #,##0.00_ ;_ [$₹-439]* \-#,##0.00_ ;_ [$₹-439]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3" fillId="0" borderId="0" xfId="0" applyFont="1"/>
    <xf numFmtId="9" fontId="0" fillId="0" borderId="0" xfId="0" applyNumberFormat="1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0" fillId="3" borderId="1" xfId="0" applyNumberFormat="1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right" wrapText="1"/>
    </xf>
    <xf numFmtId="165" fontId="0" fillId="3" borderId="1" xfId="0" applyNumberForma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99"/>
      <color rgb="FFFF9999"/>
      <color rgb="FFFF6699"/>
      <color rgb="FFFF9966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D8C4-8466-48CE-9898-60334A9ADFD9}">
  <sheetPr>
    <tabColor theme="7" tint="0.59999389629810485"/>
  </sheetPr>
  <dimension ref="A1:L63"/>
  <sheetViews>
    <sheetView zoomScale="67" workbookViewId="0">
      <selection activeCell="D22" sqref="D22"/>
    </sheetView>
  </sheetViews>
  <sheetFormatPr defaultColWidth="12" defaultRowHeight="15" x14ac:dyDescent="0.25"/>
  <cols>
    <col min="6" max="6" width="14.7109375" bestFit="1" customWidth="1"/>
    <col min="9" max="9" width="15.5703125" customWidth="1"/>
  </cols>
  <sheetData>
    <row r="1" spans="1:9" ht="30" x14ac:dyDescent="0.25">
      <c r="A1" s="5" t="s">
        <v>92</v>
      </c>
      <c r="B1" s="5" t="s">
        <v>36</v>
      </c>
      <c r="C1" s="5" t="s">
        <v>93</v>
      </c>
      <c r="D1" s="5" t="s">
        <v>64</v>
      </c>
      <c r="E1" s="5" t="s">
        <v>65</v>
      </c>
      <c r="F1" s="5" t="s">
        <v>94</v>
      </c>
      <c r="G1" s="5" t="s">
        <v>87</v>
      </c>
      <c r="H1" s="5" t="s">
        <v>123</v>
      </c>
      <c r="I1" s="5" t="s">
        <v>66</v>
      </c>
    </row>
    <row r="2" spans="1:9" x14ac:dyDescent="0.25">
      <c r="A2" s="6">
        <v>1001</v>
      </c>
      <c r="B2" s="6" t="s">
        <v>67</v>
      </c>
      <c r="C2" s="6">
        <v>61</v>
      </c>
      <c r="D2" s="6">
        <v>48</v>
      </c>
      <c r="E2" s="6">
        <v>76</v>
      </c>
      <c r="F2" s="6">
        <v>61.67</v>
      </c>
      <c r="G2" s="6" t="s">
        <v>95</v>
      </c>
      <c r="H2" s="6" t="s">
        <v>96</v>
      </c>
      <c r="I2" s="8">
        <v>43101</v>
      </c>
    </row>
    <row r="3" spans="1:9" x14ac:dyDescent="0.25">
      <c r="A3" s="6">
        <v>1002</v>
      </c>
      <c r="B3" s="6" t="s">
        <v>68</v>
      </c>
      <c r="C3" s="6">
        <v>78</v>
      </c>
      <c r="D3" s="6">
        <v>76</v>
      </c>
      <c r="E3" s="6">
        <v>70</v>
      </c>
      <c r="F3" s="6">
        <v>74.67</v>
      </c>
      <c r="G3" s="6" t="s">
        <v>97</v>
      </c>
      <c r="H3" s="6" t="s">
        <v>96</v>
      </c>
      <c r="I3" s="8" t="s">
        <v>98</v>
      </c>
    </row>
    <row r="4" spans="1:9" x14ac:dyDescent="0.25">
      <c r="A4" s="6">
        <v>1003</v>
      </c>
      <c r="B4" s="6" t="s">
        <v>69</v>
      </c>
      <c r="C4" s="6">
        <v>97</v>
      </c>
      <c r="D4" s="6">
        <v>60</v>
      </c>
      <c r="E4" s="6">
        <v>51</v>
      </c>
      <c r="F4" s="6">
        <v>69.33</v>
      </c>
      <c r="G4" s="6" t="s">
        <v>95</v>
      </c>
      <c r="H4" s="6" t="s">
        <v>96</v>
      </c>
      <c r="I4" s="8" t="s">
        <v>99</v>
      </c>
    </row>
    <row r="5" spans="1:9" x14ac:dyDescent="0.25">
      <c r="A5" s="6">
        <v>1004</v>
      </c>
      <c r="B5" s="6" t="s">
        <v>70</v>
      </c>
      <c r="C5" s="6">
        <v>74</v>
      </c>
      <c r="D5" s="6">
        <v>55</v>
      </c>
      <c r="E5" s="6">
        <v>46</v>
      </c>
      <c r="F5" s="6">
        <v>58.33</v>
      </c>
      <c r="G5" s="6" t="s">
        <v>100</v>
      </c>
      <c r="H5" s="6" t="s">
        <v>96</v>
      </c>
      <c r="I5" s="8" t="s">
        <v>101</v>
      </c>
    </row>
    <row r="6" spans="1:9" x14ac:dyDescent="0.25">
      <c r="A6" s="6">
        <v>1005</v>
      </c>
      <c r="B6" s="6" t="s">
        <v>71</v>
      </c>
      <c r="C6" s="6">
        <v>68</v>
      </c>
      <c r="D6" s="6">
        <v>74</v>
      </c>
      <c r="E6" s="6">
        <v>84</v>
      </c>
      <c r="F6" s="6">
        <v>75.33</v>
      </c>
      <c r="G6" s="6" t="s">
        <v>97</v>
      </c>
      <c r="H6" s="6" t="s">
        <v>96</v>
      </c>
      <c r="I6" s="8" t="s">
        <v>102</v>
      </c>
    </row>
    <row r="7" spans="1:9" x14ac:dyDescent="0.25">
      <c r="A7" s="6">
        <v>1006</v>
      </c>
      <c r="B7" s="6" t="s">
        <v>72</v>
      </c>
      <c r="C7" s="6">
        <v>80</v>
      </c>
      <c r="D7" s="6">
        <v>70</v>
      </c>
      <c r="E7" s="6">
        <v>65</v>
      </c>
      <c r="F7" s="6">
        <v>71.67</v>
      </c>
      <c r="G7" s="6" t="s">
        <v>97</v>
      </c>
      <c r="H7" s="6" t="s">
        <v>96</v>
      </c>
      <c r="I7" s="8" t="s">
        <v>103</v>
      </c>
    </row>
    <row r="8" spans="1:9" x14ac:dyDescent="0.25">
      <c r="A8" s="6">
        <v>1007</v>
      </c>
      <c r="B8" s="6" t="s">
        <v>73</v>
      </c>
      <c r="C8" s="6">
        <v>75</v>
      </c>
      <c r="D8" s="6">
        <v>47</v>
      </c>
      <c r="E8" s="6">
        <v>78</v>
      </c>
      <c r="F8" s="6">
        <v>66.67</v>
      </c>
      <c r="G8" s="6" t="s">
        <v>95</v>
      </c>
      <c r="H8" s="6" t="s">
        <v>96</v>
      </c>
      <c r="I8" s="8" t="s">
        <v>104</v>
      </c>
    </row>
    <row r="9" spans="1:9" x14ac:dyDescent="0.25">
      <c r="A9" s="6">
        <v>1008</v>
      </c>
      <c r="B9" s="6" t="s">
        <v>74</v>
      </c>
      <c r="C9" s="6">
        <v>94</v>
      </c>
      <c r="D9" s="6">
        <v>67</v>
      </c>
      <c r="E9" s="6">
        <v>64</v>
      </c>
      <c r="F9" s="6">
        <v>75</v>
      </c>
      <c r="G9" s="6" t="s">
        <v>97</v>
      </c>
      <c r="H9" s="6" t="s">
        <v>96</v>
      </c>
      <c r="I9" s="8" t="s">
        <v>105</v>
      </c>
    </row>
    <row r="10" spans="1:9" x14ac:dyDescent="0.25">
      <c r="A10" s="6">
        <v>1009</v>
      </c>
      <c r="B10" s="6" t="s">
        <v>75</v>
      </c>
      <c r="C10" s="6">
        <v>41</v>
      </c>
      <c r="D10" s="6">
        <v>75</v>
      </c>
      <c r="E10" s="6">
        <v>56</v>
      </c>
      <c r="F10" s="6">
        <v>57.33</v>
      </c>
      <c r="G10" s="6" t="s">
        <v>100</v>
      </c>
      <c r="H10" s="6" t="s">
        <v>96</v>
      </c>
      <c r="I10" s="8">
        <v>44512</v>
      </c>
    </row>
    <row r="11" spans="1:9" ht="15" customHeight="1" x14ac:dyDescent="0.25">
      <c r="A11" s="6">
        <v>1010</v>
      </c>
      <c r="B11" s="6" t="s">
        <v>76</v>
      </c>
      <c r="C11" s="6">
        <v>98</v>
      </c>
      <c r="D11" s="6">
        <v>54</v>
      </c>
      <c r="E11" s="6">
        <v>58</v>
      </c>
      <c r="F11" s="6">
        <v>70</v>
      </c>
      <c r="G11" s="6" t="s">
        <v>97</v>
      </c>
      <c r="H11" s="6" t="s">
        <v>96</v>
      </c>
      <c r="I11" s="8">
        <v>44810</v>
      </c>
    </row>
    <row r="12" spans="1:9" x14ac:dyDescent="0.25">
      <c r="A12" s="6">
        <v>1011</v>
      </c>
      <c r="B12" s="6" t="s">
        <v>77</v>
      </c>
      <c r="C12" s="6">
        <v>73</v>
      </c>
      <c r="D12" s="6">
        <v>79</v>
      </c>
      <c r="E12" s="6">
        <v>53</v>
      </c>
      <c r="F12" s="6">
        <v>68.33</v>
      </c>
      <c r="G12" s="6" t="s">
        <v>95</v>
      </c>
      <c r="H12" s="6" t="s">
        <v>96</v>
      </c>
      <c r="I12" s="8">
        <v>44724</v>
      </c>
    </row>
    <row r="13" spans="1:9" x14ac:dyDescent="0.25">
      <c r="A13" s="6">
        <v>1012</v>
      </c>
      <c r="B13" s="6" t="s">
        <v>78</v>
      </c>
      <c r="C13" s="6">
        <v>85</v>
      </c>
      <c r="D13" s="6">
        <v>89</v>
      </c>
      <c r="E13" s="6">
        <v>79</v>
      </c>
      <c r="F13" s="6">
        <v>84.33</v>
      </c>
      <c r="G13" s="6" t="s">
        <v>106</v>
      </c>
      <c r="H13" s="6" t="s">
        <v>107</v>
      </c>
      <c r="I13" s="8">
        <v>45022</v>
      </c>
    </row>
    <row r="14" spans="1:9" x14ac:dyDescent="0.25">
      <c r="A14" s="6">
        <v>1013</v>
      </c>
      <c r="B14" s="6" t="s">
        <v>79</v>
      </c>
      <c r="C14" s="6">
        <v>98</v>
      </c>
      <c r="D14" s="6">
        <v>90</v>
      </c>
      <c r="E14" s="6">
        <v>97</v>
      </c>
      <c r="F14" s="6">
        <v>95</v>
      </c>
      <c r="G14" s="6" t="s">
        <v>106</v>
      </c>
      <c r="H14" s="6" t="s">
        <v>107</v>
      </c>
      <c r="I14" s="8">
        <v>44938</v>
      </c>
    </row>
    <row r="15" spans="1:9" x14ac:dyDescent="0.25">
      <c r="A15" s="6">
        <v>1014</v>
      </c>
      <c r="B15" s="6" t="s">
        <v>80</v>
      </c>
      <c r="C15" s="6">
        <v>93</v>
      </c>
      <c r="D15" s="6">
        <v>40</v>
      </c>
      <c r="E15" s="6">
        <v>44</v>
      </c>
      <c r="F15" s="6">
        <v>59</v>
      </c>
      <c r="G15" s="6" t="s">
        <v>100</v>
      </c>
      <c r="H15" s="6" t="s">
        <v>96</v>
      </c>
      <c r="I15" s="8" t="s">
        <v>108</v>
      </c>
    </row>
    <row r="16" spans="1:9" x14ac:dyDescent="0.25">
      <c r="A16" s="6">
        <v>1015</v>
      </c>
      <c r="B16" s="6" t="s">
        <v>81</v>
      </c>
      <c r="C16" s="6">
        <v>70</v>
      </c>
      <c r="D16" s="6">
        <v>51</v>
      </c>
      <c r="E16" s="6">
        <v>75</v>
      </c>
      <c r="F16" s="6">
        <v>65.33</v>
      </c>
      <c r="G16" s="6" t="s">
        <v>95</v>
      </c>
      <c r="H16" s="6" t="s">
        <v>96</v>
      </c>
      <c r="I16" s="8" t="s">
        <v>109</v>
      </c>
    </row>
    <row r="17" spans="1:12" x14ac:dyDescent="0.25">
      <c r="A17" s="6">
        <v>1016</v>
      </c>
      <c r="B17" s="6" t="s">
        <v>82</v>
      </c>
      <c r="C17" s="6">
        <v>98</v>
      </c>
      <c r="D17" s="6">
        <v>77</v>
      </c>
      <c r="E17" s="6">
        <v>60</v>
      </c>
      <c r="F17" s="6">
        <v>78.33</v>
      </c>
      <c r="G17" s="6" t="s">
        <v>97</v>
      </c>
      <c r="H17" s="6" t="s">
        <v>96</v>
      </c>
      <c r="I17" s="8" t="s">
        <v>110</v>
      </c>
    </row>
    <row r="18" spans="1:12" x14ac:dyDescent="0.25">
      <c r="A18" s="6">
        <v>1017</v>
      </c>
      <c r="B18" s="6" t="s">
        <v>83</v>
      </c>
      <c r="C18" s="6">
        <v>66</v>
      </c>
      <c r="D18" s="6">
        <v>59</v>
      </c>
      <c r="E18" s="6">
        <v>40</v>
      </c>
      <c r="F18" s="6">
        <v>55</v>
      </c>
      <c r="G18" s="6" t="s">
        <v>100</v>
      </c>
      <c r="H18" s="6" t="s">
        <v>96</v>
      </c>
      <c r="I18" s="8" t="s">
        <v>111</v>
      </c>
    </row>
    <row r="19" spans="1:12" ht="30" x14ac:dyDescent="0.25">
      <c r="A19" s="6">
        <v>1018</v>
      </c>
      <c r="B19" s="6" t="s">
        <v>84</v>
      </c>
      <c r="C19" s="6">
        <v>82</v>
      </c>
      <c r="D19" s="6">
        <v>48</v>
      </c>
      <c r="E19" s="6">
        <v>79</v>
      </c>
      <c r="F19" s="6">
        <v>69.67</v>
      </c>
      <c r="G19" s="6" t="s">
        <v>95</v>
      </c>
      <c r="H19" s="6" t="s">
        <v>96</v>
      </c>
      <c r="I19" s="8" t="s">
        <v>112</v>
      </c>
      <c r="K19" s="19" t="s">
        <v>121</v>
      </c>
    </row>
    <row r="20" spans="1:12" x14ac:dyDescent="0.25">
      <c r="A20" s="6">
        <v>1019</v>
      </c>
      <c r="B20" s="6" t="s">
        <v>85</v>
      </c>
      <c r="C20" s="6">
        <v>90</v>
      </c>
      <c r="D20" s="6">
        <v>78</v>
      </c>
      <c r="E20" s="6">
        <v>60</v>
      </c>
      <c r="F20" s="6">
        <v>76</v>
      </c>
      <c r="G20" s="6" t="s">
        <v>97</v>
      </c>
      <c r="H20" s="6" t="s">
        <v>96</v>
      </c>
      <c r="I20" s="8" t="s">
        <v>113</v>
      </c>
      <c r="K20" s="1">
        <v>73.625</v>
      </c>
    </row>
    <row r="21" spans="1:12" x14ac:dyDescent="0.25">
      <c r="A21" s="6">
        <v>1020</v>
      </c>
      <c r="B21" s="6" t="s">
        <v>86</v>
      </c>
      <c r="C21" s="6">
        <v>83</v>
      </c>
      <c r="D21" s="6">
        <v>92</v>
      </c>
      <c r="E21" s="6">
        <v>55</v>
      </c>
      <c r="F21" s="6">
        <v>76.67</v>
      </c>
      <c r="G21" s="6" t="s">
        <v>97</v>
      </c>
      <c r="H21" s="6" t="s">
        <v>107</v>
      </c>
      <c r="I21" s="8" t="s">
        <v>114</v>
      </c>
    </row>
    <row r="22" spans="1:12" x14ac:dyDescent="0.25">
      <c r="K22" s="19" t="s">
        <v>120</v>
      </c>
    </row>
    <row r="23" spans="1:12" ht="14.45" customHeight="1" x14ac:dyDescent="0.25">
      <c r="A23" s="31" t="s">
        <v>139</v>
      </c>
      <c r="B23" s="31"/>
      <c r="C23" s="31"/>
      <c r="D23" s="31"/>
      <c r="E23" s="31"/>
      <c r="F23" s="31"/>
      <c r="G23" s="31"/>
      <c r="H23" s="31"/>
      <c r="I23" s="31"/>
      <c r="K23" s="1">
        <v>19</v>
      </c>
    </row>
    <row r="24" spans="1:12" x14ac:dyDescent="0.25">
      <c r="A24" s="19" t="s">
        <v>92</v>
      </c>
      <c r="B24" s="19" t="s">
        <v>36</v>
      </c>
      <c r="C24" s="19" t="s">
        <v>93</v>
      </c>
      <c r="D24" s="19" t="s">
        <v>64</v>
      </c>
      <c r="E24" s="19" t="s">
        <v>65</v>
      </c>
      <c r="F24" s="19" t="s">
        <v>94</v>
      </c>
      <c r="G24" s="19" t="s">
        <v>87</v>
      </c>
      <c r="H24" s="19" t="s">
        <v>123</v>
      </c>
      <c r="I24" s="19" t="s">
        <v>66</v>
      </c>
    </row>
    <row r="25" spans="1:12" x14ac:dyDescent="0.25">
      <c r="A25" s="1" cm="1">
        <f t="array" ref="A25:I26">_xlfn._xlws.FILTER(A2:I21, F2:F21&gt;80, "No Top Performers")</f>
        <v>1012</v>
      </c>
      <c r="B25" s="1" t="str">
        <v>Student 12</v>
      </c>
      <c r="C25" s="1">
        <v>85</v>
      </c>
      <c r="D25" s="1">
        <v>89</v>
      </c>
      <c r="E25" s="1">
        <v>79</v>
      </c>
      <c r="F25" s="1">
        <v>84.33</v>
      </c>
      <c r="G25" s="1" t="str">
        <v>A</v>
      </c>
      <c r="H25" s="2" t="str">
        <v>Yes</v>
      </c>
      <c r="I25" s="18">
        <v>45022</v>
      </c>
      <c r="K25" s="30" t="s">
        <v>122</v>
      </c>
      <c r="L25" s="30"/>
    </row>
    <row r="26" spans="1:12" x14ac:dyDescent="0.25">
      <c r="A26" s="1">
        <v>1013</v>
      </c>
      <c r="B26" s="1" t="str">
        <v>Student 13</v>
      </c>
      <c r="C26" s="1">
        <v>98</v>
      </c>
      <c r="D26" s="1">
        <v>90</v>
      </c>
      <c r="E26" s="1">
        <v>97</v>
      </c>
      <c r="F26" s="1">
        <v>95</v>
      </c>
      <c r="G26" s="1" t="str">
        <v>A</v>
      </c>
      <c r="H26" s="2" t="str">
        <v>Yes</v>
      </c>
      <c r="I26" s="18">
        <v>44938</v>
      </c>
      <c r="K26" s="1">
        <v>1009</v>
      </c>
      <c r="L26" s="1" t="s">
        <v>75</v>
      </c>
    </row>
    <row r="43" spans="2:9" x14ac:dyDescent="0.25">
      <c r="B43" s="3"/>
      <c r="C43" s="3"/>
      <c r="D43" s="3"/>
      <c r="E43" s="3"/>
      <c r="F43" s="3"/>
      <c r="G43" s="27"/>
      <c r="H43" s="3"/>
      <c r="I43" s="3"/>
    </row>
    <row r="44" spans="2:9" x14ac:dyDescent="0.25">
      <c r="B44" s="4"/>
      <c r="C44" s="4"/>
      <c r="D44" s="4"/>
      <c r="E44" s="4"/>
      <c r="F44" s="4"/>
      <c r="G44" s="28"/>
      <c r="H44" s="29"/>
      <c r="I44" s="29"/>
    </row>
    <row r="45" spans="2:9" x14ac:dyDescent="0.25">
      <c r="B45" s="4"/>
      <c r="C45" s="4"/>
      <c r="D45" s="4"/>
      <c r="E45" s="4"/>
      <c r="F45" s="4"/>
      <c r="G45" s="28"/>
      <c r="H45" s="29"/>
      <c r="I45" s="29"/>
    </row>
    <row r="46" spans="2:9" x14ac:dyDescent="0.25">
      <c r="B46" s="4"/>
      <c r="C46" s="4"/>
      <c r="D46" s="4"/>
      <c r="E46" s="4"/>
      <c r="F46" s="4"/>
      <c r="G46" s="28"/>
      <c r="H46" s="29"/>
      <c r="I46" s="29"/>
    </row>
    <row r="47" spans="2:9" x14ac:dyDescent="0.25">
      <c r="B47" s="4"/>
      <c r="C47" s="4"/>
      <c r="D47" s="4"/>
      <c r="E47" s="4"/>
      <c r="F47" s="4"/>
      <c r="G47" s="28"/>
      <c r="H47" s="29"/>
      <c r="I47" s="29"/>
    </row>
    <row r="48" spans="2:9" x14ac:dyDescent="0.25">
      <c r="B48" s="4"/>
      <c r="C48" s="4"/>
      <c r="D48" s="4"/>
      <c r="E48" s="4"/>
      <c r="F48" s="4"/>
      <c r="G48" s="28"/>
      <c r="H48" s="29"/>
      <c r="I48" s="29"/>
    </row>
    <row r="49" spans="2:9" x14ac:dyDescent="0.25">
      <c r="B49" s="4"/>
      <c r="C49" s="4"/>
      <c r="D49" s="4"/>
      <c r="E49" s="4"/>
      <c r="F49" s="4"/>
      <c r="G49" s="28"/>
      <c r="H49" s="29"/>
      <c r="I49" s="29"/>
    </row>
    <row r="50" spans="2:9" x14ac:dyDescent="0.25">
      <c r="B50" s="4"/>
      <c r="C50" s="4"/>
      <c r="D50" s="4"/>
      <c r="E50" s="4"/>
      <c r="F50" s="4"/>
      <c r="G50" s="28"/>
      <c r="H50" s="29"/>
      <c r="I50" s="29"/>
    </row>
    <row r="51" spans="2:9" x14ac:dyDescent="0.25">
      <c r="B51" s="4"/>
      <c r="C51" s="4"/>
      <c r="D51" s="4"/>
      <c r="E51" s="4"/>
      <c r="F51" s="4"/>
      <c r="G51" s="28"/>
      <c r="H51" s="29"/>
      <c r="I51" s="29"/>
    </row>
    <row r="52" spans="2:9" x14ac:dyDescent="0.25">
      <c r="B52" s="4"/>
      <c r="C52" s="4"/>
      <c r="D52" s="4"/>
      <c r="E52" s="4"/>
      <c r="F52" s="4"/>
      <c r="G52" s="28"/>
      <c r="H52" s="29"/>
      <c r="I52" s="29"/>
    </row>
    <row r="53" spans="2:9" x14ac:dyDescent="0.25">
      <c r="B53" s="4"/>
      <c r="C53" s="4"/>
      <c r="D53" s="4"/>
      <c r="E53" s="4"/>
      <c r="F53" s="4"/>
      <c r="G53" s="28"/>
      <c r="H53" s="29"/>
      <c r="I53" s="29"/>
    </row>
    <row r="54" spans="2:9" x14ac:dyDescent="0.25">
      <c r="B54" s="4"/>
      <c r="C54" s="4"/>
      <c r="D54" s="4"/>
      <c r="E54" s="4"/>
      <c r="F54" s="4"/>
      <c r="G54" s="28"/>
      <c r="H54" s="29"/>
      <c r="I54" s="29"/>
    </row>
    <row r="55" spans="2:9" x14ac:dyDescent="0.25">
      <c r="B55" s="4"/>
      <c r="C55" s="4"/>
      <c r="D55" s="4"/>
      <c r="E55" s="4"/>
      <c r="F55" s="4"/>
      <c r="G55" s="28"/>
      <c r="H55" s="29"/>
      <c r="I55" s="29"/>
    </row>
    <row r="56" spans="2:9" x14ac:dyDescent="0.25">
      <c r="B56" s="4"/>
      <c r="C56" s="4"/>
      <c r="D56" s="4"/>
      <c r="E56" s="4"/>
      <c r="F56" s="4"/>
      <c r="G56" s="28"/>
      <c r="H56" s="29"/>
      <c r="I56" s="29"/>
    </row>
    <row r="57" spans="2:9" x14ac:dyDescent="0.25">
      <c r="B57" s="4"/>
      <c r="C57" s="4"/>
      <c r="D57" s="4"/>
      <c r="E57" s="4"/>
      <c r="F57" s="4"/>
      <c r="G57" s="28"/>
      <c r="H57" s="29"/>
      <c r="I57" s="29"/>
    </row>
    <row r="58" spans="2:9" x14ac:dyDescent="0.25">
      <c r="B58" s="4"/>
      <c r="C58" s="4"/>
      <c r="D58" s="4"/>
      <c r="E58" s="4"/>
      <c r="F58" s="4"/>
      <c r="G58" s="28"/>
      <c r="H58" s="29"/>
      <c r="I58" s="29"/>
    </row>
    <row r="59" spans="2:9" x14ac:dyDescent="0.25">
      <c r="B59" s="4"/>
      <c r="C59" s="4"/>
      <c r="D59" s="4"/>
      <c r="E59" s="4"/>
      <c r="F59" s="4"/>
      <c r="G59" s="28"/>
      <c r="H59" s="29"/>
      <c r="I59" s="29"/>
    </row>
    <row r="60" spans="2:9" x14ac:dyDescent="0.25">
      <c r="B60" s="4"/>
      <c r="C60" s="4"/>
      <c r="D60" s="4"/>
      <c r="E60" s="4"/>
      <c r="F60" s="4"/>
      <c r="G60" s="28"/>
      <c r="H60" s="29"/>
      <c r="I60" s="29"/>
    </row>
    <row r="61" spans="2:9" x14ac:dyDescent="0.25">
      <c r="B61" s="4"/>
      <c r="C61" s="4"/>
      <c r="D61" s="4"/>
      <c r="E61" s="4"/>
      <c r="F61" s="4"/>
      <c r="G61" s="28"/>
      <c r="H61" s="29"/>
      <c r="I61" s="29"/>
    </row>
    <row r="62" spans="2:9" x14ac:dyDescent="0.25">
      <c r="B62" s="4"/>
      <c r="C62" s="4"/>
      <c r="D62" s="4"/>
      <c r="E62" s="4"/>
      <c r="F62" s="4"/>
      <c r="G62" s="28"/>
      <c r="H62" s="29"/>
      <c r="I62" s="29"/>
    </row>
    <row r="63" spans="2:9" x14ac:dyDescent="0.25">
      <c r="B63" s="4"/>
      <c r="C63" s="4"/>
      <c r="D63" s="4"/>
      <c r="E63" s="4"/>
      <c r="F63" s="4"/>
      <c r="G63" s="28"/>
      <c r="H63" s="29"/>
      <c r="I63" s="29"/>
    </row>
  </sheetData>
  <mergeCells count="2">
    <mergeCell ref="K25:L25"/>
    <mergeCell ref="A23:I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A5B2-53B8-4B3A-B5B7-4BBD47ADDC32}">
  <sheetPr>
    <tabColor rgb="FFFFCC99"/>
  </sheetPr>
  <dimension ref="A1:T25"/>
  <sheetViews>
    <sheetView zoomScale="105" zoomScaleNormal="100" workbookViewId="0">
      <selection activeCell="C9" sqref="C9"/>
    </sheetView>
  </sheetViews>
  <sheetFormatPr defaultColWidth="15.7109375" defaultRowHeight="15" x14ac:dyDescent="0.25"/>
  <cols>
    <col min="1" max="1" width="13.5703125" customWidth="1"/>
    <col min="4" max="4" width="13.7109375" customWidth="1"/>
    <col min="5" max="5" width="12.7109375" customWidth="1"/>
    <col min="8" max="8" width="15.7109375" bestFit="1" customWidth="1"/>
    <col min="9" max="9" width="14.5703125" customWidth="1"/>
  </cols>
  <sheetData>
    <row r="1" spans="1:20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16" t="s">
        <v>4</v>
      </c>
      <c r="F1" s="5" t="s">
        <v>5</v>
      </c>
      <c r="G1" s="5" t="s">
        <v>90</v>
      </c>
      <c r="H1" s="5" t="s">
        <v>91</v>
      </c>
      <c r="I1" s="16" t="s">
        <v>88</v>
      </c>
      <c r="J1" s="5" t="s">
        <v>115</v>
      </c>
      <c r="O1" s="3"/>
      <c r="P1" s="3"/>
      <c r="R1" s="3"/>
      <c r="S1" s="3"/>
      <c r="T1" s="3"/>
    </row>
    <row r="2" spans="1:20" x14ac:dyDescent="0.25">
      <c r="A2" s="6">
        <v>2001</v>
      </c>
      <c r="B2" s="6" t="s">
        <v>6</v>
      </c>
      <c r="C2" s="6" t="s">
        <v>7</v>
      </c>
      <c r="D2" s="6" t="s">
        <v>8</v>
      </c>
      <c r="E2" s="7">
        <v>7048</v>
      </c>
      <c r="F2" s="8">
        <v>44927</v>
      </c>
      <c r="G2" s="9" t="str" cm="1">
        <f t="array" ref="G2">_xlfn.IFS($E2&gt;40000,"15%",$E2&gt;20000,"10%",$E2&gt;10000,"5%",TRUE, "0%")</f>
        <v>0%</v>
      </c>
      <c r="H2" s="10" cm="1">
        <f t="array" ref="H2">_xlfn.IFS($E2&gt;40000,$E2*0.15,$E2&gt;20000,$E2*0.1,$E2&gt;10000,$E2*0.05,TRUE,0)</f>
        <v>0</v>
      </c>
      <c r="I2" s="11">
        <f>SUM(E2-H2)</f>
        <v>7048</v>
      </c>
      <c r="J2" s="6" t="str">
        <f>IF(OR(E2 &gt; 10000, B2 = "Keyboard", B2 = "Mouse"), "Eligible", "Not Eligible")</f>
        <v>Eligible</v>
      </c>
      <c r="O2" s="4"/>
      <c r="P2" s="4"/>
      <c r="R2" s="13"/>
      <c r="S2" s="4"/>
      <c r="T2" s="14"/>
    </row>
    <row r="3" spans="1:20" x14ac:dyDescent="0.25">
      <c r="A3" s="6">
        <v>2002</v>
      </c>
      <c r="B3" s="6" t="s">
        <v>9</v>
      </c>
      <c r="C3" s="6" t="s">
        <v>10</v>
      </c>
      <c r="D3" s="6" t="s">
        <v>11</v>
      </c>
      <c r="E3" s="7">
        <v>17428</v>
      </c>
      <c r="F3" s="8">
        <v>44942</v>
      </c>
      <c r="G3" s="9" t="str" cm="1">
        <f t="array" ref="G3">_xlfn.IFS($E3&gt;40000,"15%",$E3&gt;20000,"10%",$E3&gt;10000,"5%",TRUE, "0%")</f>
        <v>5%</v>
      </c>
      <c r="H3" s="10" cm="1">
        <f t="array" ref="H3">_xlfn.IFS($E3&gt;40000,$E3*0.15,$E3&gt;20000,$E3*0.1,$E3&gt;10000,$E3*0.05,TRUE,0)</f>
        <v>871.40000000000009</v>
      </c>
      <c r="I3" s="11">
        <f t="shared" ref="I3:I21" si="0">SUM(E3-H3)</f>
        <v>16556.599999999999</v>
      </c>
      <c r="J3" s="6" t="str">
        <f t="shared" ref="J3:J21" si="1">IF(OR(E3 &gt; 10000, B3 = "Keyboard", B3 = "Mouse"), "Eligible", "Not Eligible")</f>
        <v>Eligible</v>
      </c>
      <c r="L3" s="30" t="s">
        <v>116</v>
      </c>
      <c r="M3" s="30"/>
      <c r="O3" s="4"/>
      <c r="P3" s="4"/>
      <c r="R3" s="13"/>
      <c r="S3" s="4"/>
      <c r="T3" s="4"/>
    </row>
    <row r="4" spans="1:20" x14ac:dyDescent="0.25">
      <c r="A4" s="6">
        <v>2003</v>
      </c>
      <c r="B4" s="6" t="s">
        <v>12</v>
      </c>
      <c r="C4" s="6" t="s">
        <v>7</v>
      </c>
      <c r="D4" s="6" t="s">
        <v>13</v>
      </c>
      <c r="E4" s="7">
        <v>23672</v>
      </c>
      <c r="F4" s="8">
        <v>44957</v>
      </c>
      <c r="G4" s="9" t="str" cm="1">
        <f t="array" ref="G4">_xlfn.IFS($E4&gt;40000,"15%",$E4&gt;20000,"10%",$E4&gt;10000,"5%",TRUE, "0%")</f>
        <v>10%</v>
      </c>
      <c r="H4" s="10" cm="1">
        <f t="array" ref="H4">_xlfn.IFS($E4&gt;40000,$E4*0.15,$E4&gt;20000,$E4*0.1,$E4&gt;10000,$E4*0.05,TRUE,0)</f>
        <v>2367.2000000000003</v>
      </c>
      <c r="I4" s="11">
        <f t="shared" si="0"/>
        <v>21304.799999999999</v>
      </c>
      <c r="J4" s="6" t="str">
        <f t="shared" si="1"/>
        <v>Eligible</v>
      </c>
      <c r="L4" s="1" t="s">
        <v>7</v>
      </c>
      <c r="M4" s="1" t="s">
        <v>6</v>
      </c>
      <c r="N4" s="4"/>
      <c r="O4" s="4"/>
      <c r="P4" s="4"/>
      <c r="R4" s="13"/>
      <c r="S4" s="4"/>
      <c r="T4" s="4"/>
    </row>
    <row r="5" spans="1:20" x14ac:dyDescent="0.25">
      <c r="A5" s="6">
        <v>2004</v>
      </c>
      <c r="B5" s="6" t="s">
        <v>9</v>
      </c>
      <c r="C5" s="6" t="s">
        <v>14</v>
      </c>
      <c r="D5" s="6" t="s">
        <v>15</v>
      </c>
      <c r="E5" s="7">
        <v>5264</v>
      </c>
      <c r="F5" s="8">
        <v>44972</v>
      </c>
      <c r="G5" s="9" t="str" cm="1">
        <f t="array" ref="G5">_xlfn.IFS($E5&gt;40000,"15%",$E5&gt;20000,"10%",$E5&gt;10000,"5%",TRUE, "0%")</f>
        <v>0%</v>
      </c>
      <c r="H5" s="10" cm="1">
        <f t="array" ref="H5">_xlfn.IFS($E5&gt;40000,$E5*0.15,$E5&gt;20000,$E5*0.1,$E5&gt;10000,$E5*0.05,TRUE,0)</f>
        <v>0</v>
      </c>
      <c r="I5" s="11">
        <f t="shared" si="0"/>
        <v>5264</v>
      </c>
      <c r="J5" s="6" t="str">
        <f t="shared" si="1"/>
        <v>Not Eligible</v>
      </c>
      <c r="L5" s="19" t="s">
        <v>119</v>
      </c>
      <c r="M5" s="1">
        <f>SUMIFS(I2:I21, C2:C21, L4, B2:B21, M4)</f>
        <v>38714.5</v>
      </c>
      <c r="N5" s="4"/>
      <c r="O5" s="4"/>
      <c r="P5" s="4"/>
      <c r="R5" s="13"/>
      <c r="S5" s="4"/>
      <c r="T5" s="4"/>
    </row>
    <row r="6" spans="1:20" x14ac:dyDescent="0.25">
      <c r="A6" s="6">
        <v>2005</v>
      </c>
      <c r="B6" s="6" t="s">
        <v>6</v>
      </c>
      <c r="C6" s="6" t="s">
        <v>16</v>
      </c>
      <c r="D6" s="6" t="s">
        <v>17</v>
      </c>
      <c r="E6" s="7">
        <v>43388</v>
      </c>
      <c r="F6" s="8">
        <v>44987</v>
      </c>
      <c r="G6" s="9" t="str" cm="1">
        <f t="array" ref="G6">_xlfn.IFS($E6&gt;40000,"15%",$E6&gt;20000,"10%",$E6&gt;10000,"5%",TRUE, "0%")</f>
        <v>15%</v>
      </c>
      <c r="H6" s="10" cm="1">
        <f t="array" ref="H6">_xlfn.IFS($E6&gt;40000,$E6*0.15,$E6&gt;20000,$E6*0.1,$E6&gt;10000,$E6*0.05,TRUE,0)</f>
        <v>6508.2</v>
      </c>
      <c r="I6" s="11">
        <f t="shared" si="0"/>
        <v>36879.800000000003</v>
      </c>
      <c r="J6" s="6" t="str">
        <f t="shared" si="1"/>
        <v>Eligible</v>
      </c>
      <c r="N6" s="4"/>
      <c r="O6" s="4"/>
      <c r="P6" s="4"/>
      <c r="R6" s="13"/>
      <c r="S6" s="4"/>
      <c r="T6" s="14"/>
    </row>
    <row r="7" spans="1:20" x14ac:dyDescent="0.25">
      <c r="A7" s="6">
        <v>2006</v>
      </c>
      <c r="B7" s="6" t="s">
        <v>12</v>
      </c>
      <c r="C7" s="6" t="s">
        <v>16</v>
      </c>
      <c r="D7" s="6" t="s">
        <v>18</v>
      </c>
      <c r="E7" s="7">
        <v>19757</v>
      </c>
      <c r="F7" s="8">
        <v>45002</v>
      </c>
      <c r="G7" s="9" t="str" cm="1">
        <f t="array" ref="G7">_xlfn.IFS($E7&gt;40000,"15%",$E7&gt;20000,"10%",$E7&gt;10000,"5%",TRUE, "0%")</f>
        <v>5%</v>
      </c>
      <c r="H7" s="10" cm="1">
        <f t="array" ref="H7">_xlfn.IFS($E7&gt;40000,$E7*0.15,$E7&gt;20000,$E7*0.1,$E7&gt;10000,$E7*0.05,TRUE,0)</f>
        <v>987.85</v>
      </c>
      <c r="I7" s="11">
        <f t="shared" si="0"/>
        <v>18769.150000000001</v>
      </c>
      <c r="J7" s="6" t="str">
        <f t="shared" si="1"/>
        <v>Eligible</v>
      </c>
      <c r="L7" s="33" t="s">
        <v>129</v>
      </c>
      <c r="M7" s="34"/>
      <c r="N7" s="12"/>
      <c r="O7" s="4"/>
      <c r="P7" s="4"/>
      <c r="R7" s="13"/>
      <c r="S7" s="4"/>
      <c r="T7" s="4"/>
    </row>
    <row r="8" spans="1:20" x14ac:dyDescent="0.25">
      <c r="A8" s="6">
        <v>2007</v>
      </c>
      <c r="B8" s="6" t="s">
        <v>12</v>
      </c>
      <c r="C8" s="6" t="s">
        <v>14</v>
      </c>
      <c r="D8" s="6" t="s">
        <v>19</v>
      </c>
      <c r="E8" s="7">
        <v>32058</v>
      </c>
      <c r="F8" s="8">
        <v>45017</v>
      </c>
      <c r="G8" s="9" t="str" cm="1">
        <f t="array" ref="G8">_xlfn.IFS($E8&gt;40000,"15%",$E8&gt;20000,"10%",$E8&gt;10000,"5%",TRUE, "0%")</f>
        <v>10%</v>
      </c>
      <c r="H8" s="10" cm="1">
        <f t="array" ref="H8">_xlfn.IFS($E8&gt;40000,$E8*0.15,$E8&gt;20000,$E8*0.1,$E8&gt;10000,$E8*0.05,TRUE,0)</f>
        <v>3205.8</v>
      </c>
      <c r="I8" s="11">
        <f t="shared" si="0"/>
        <v>28852.2</v>
      </c>
      <c r="J8" s="6" t="str">
        <f t="shared" si="1"/>
        <v>Eligible</v>
      </c>
      <c r="L8" s="1">
        <v>2018</v>
      </c>
      <c r="M8" s="1" t="str" cm="1">
        <f t="array" ref="M8">IFERROR(INDEX(B2:B21, _xlfn.XMATCH(L8, A2:A21, 0)), "Product not found")</f>
        <v>Monitor</v>
      </c>
      <c r="N8" s="4"/>
      <c r="O8" s="4"/>
      <c r="P8" s="4"/>
      <c r="R8" s="13"/>
      <c r="S8" s="4"/>
      <c r="T8" s="14"/>
    </row>
    <row r="9" spans="1:20" x14ac:dyDescent="0.25">
      <c r="A9" s="6">
        <v>2008</v>
      </c>
      <c r="B9" s="6" t="s">
        <v>6</v>
      </c>
      <c r="C9" s="6" t="s">
        <v>14</v>
      </c>
      <c r="D9" s="6" t="s">
        <v>20</v>
      </c>
      <c r="E9" s="7">
        <v>46429</v>
      </c>
      <c r="F9" s="8">
        <v>45032</v>
      </c>
      <c r="G9" s="9" t="str" cm="1">
        <f t="array" ref="G9">_xlfn.IFS($E9&gt;40000,"15%",$E9&gt;20000,"10%",$E9&gt;10000,"5%",TRUE, "0%")</f>
        <v>15%</v>
      </c>
      <c r="H9" s="10" cm="1">
        <f t="array" ref="H9">_xlfn.IFS($E9&gt;40000,$E9*0.15,$E9&gt;20000,$E9*0.1,$E9&gt;10000,$E9*0.05,TRUE,0)</f>
        <v>6964.3499999999995</v>
      </c>
      <c r="I9" s="11">
        <f t="shared" si="0"/>
        <v>39464.65</v>
      </c>
      <c r="J9" s="6" t="str">
        <f t="shared" si="1"/>
        <v>Eligible</v>
      </c>
      <c r="N9" s="4"/>
      <c r="O9" s="4"/>
      <c r="P9" s="4"/>
      <c r="R9" s="13"/>
      <c r="S9" s="4"/>
      <c r="T9" s="4"/>
    </row>
    <row r="10" spans="1:20" x14ac:dyDescent="0.25">
      <c r="A10" s="6">
        <v>2009</v>
      </c>
      <c r="B10" s="6" t="s">
        <v>9</v>
      </c>
      <c r="C10" s="6" t="s">
        <v>14</v>
      </c>
      <c r="D10" s="6" t="s">
        <v>21</v>
      </c>
      <c r="E10" s="7">
        <v>19746</v>
      </c>
      <c r="F10" s="8">
        <v>45047</v>
      </c>
      <c r="G10" s="9" t="str" cm="1">
        <f t="array" ref="G10">_xlfn.IFS($E10&gt;40000,"15%",$E10&gt;20000,"10%",$E10&gt;10000,"5%",TRUE, "0%")</f>
        <v>5%</v>
      </c>
      <c r="H10" s="10" cm="1">
        <f t="array" ref="H10">_xlfn.IFS($E10&gt;40000,$E10*0.15,$E10&gt;20000,$E10*0.1,$E10&gt;10000,$E10*0.05,TRUE,0)</f>
        <v>987.30000000000007</v>
      </c>
      <c r="I10" s="11">
        <f t="shared" si="0"/>
        <v>18758.7</v>
      </c>
      <c r="J10" s="6" t="str">
        <f t="shared" si="1"/>
        <v>Eligible</v>
      </c>
      <c r="L10" s="30" t="s">
        <v>117</v>
      </c>
      <c r="M10" s="30"/>
      <c r="N10" s="4"/>
      <c r="O10" s="4"/>
      <c r="P10" s="4"/>
      <c r="R10" s="13"/>
      <c r="S10" s="4"/>
      <c r="T10" s="14"/>
    </row>
    <row r="11" spans="1:20" x14ac:dyDescent="0.25">
      <c r="A11" s="6">
        <v>2010</v>
      </c>
      <c r="B11" s="6" t="s">
        <v>6</v>
      </c>
      <c r="C11" s="6" t="s">
        <v>7</v>
      </c>
      <c r="D11" s="6" t="s">
        <v>22</v>
      </c>
      <c r="E11" s="7">
        <v>35185</v>
      </c>
      <c r="F11" s="8">
        <v>45062</v>
      </c>
      <c r="G11" s="9" t="str" cm="1">
        <f t="array" ref="G11">_xlfn.IFS($E11&gt;40000,"15%",$E11&gt;20000,"10%",$E11&gt;10000,"5%",TRUE, "0%")</f>
        <v>10%</v>
      </c>
      <c r="H11" s="10" cm="1">
        <f t="array" ref="H11">_xlfn.IFS($E11&gt;40000,$E11*0.15,$E11&gt;20000,$E11*0.1,$E11&gt;10000,$E11*0.05,TRUE,0)</f>
        <v>3518.5</v>
      </c>
      <c r="I11" s="11">
        <f t="shared" si="0"/>
        <v>31666.5</v>
      </c>
      <c r="J11" s="6" t="str">
        <f t="shared" si="1"/>
        <v>Eligible</v>
      </c>
      <c r="L11" s="1" t="s">
        <v>18</v>
      </c>
      <c r="M11" s="1">
        <v>3</v>
      </c>
      <c r="N11" s="4"/>
      <c r="O11" s="4"/>
      <c r="P11" s="4"/>
      <c r="R11" s="13"/>
      <c r="S11" s="4"/>
      <c r="T11" s="4"/>
    </row>
    <row r="12" spans="1:20" x14ac:dyDescent="0.25">
      <c r="A12" s="6">
        <v>2011</v>
      </c>
      <c r="B12" s="6" t="s">
        <v>6</v>
      </c>
      <c r="C12" s="6" t="s">
        <v>14</v>
      </c>
      <c r="D12" s="6" t="s">
        <v>23</v>
      </c>
      <c r="E12" s="7">
        <v>33920</v>
      </c>
      <c r="F12" s="8">
        <v>45077</v>
      </c>
      <c r="G12" s="9" t="str" cm="1">
        <f t="array" ref="G12">_xlfn.IFS($E12&gt;40000,"15%",$E12&gt;20000,"10%",$E12&gt;10000,"5%",TRUE, "0%")</f>
        <v>10%</v>
      </c>
      <c r="H12" s="10" cm="1">
        <f t="array" ref="H12">_xlfn.IFS($E12&gt;40000,$E12*0.15,$E12&gt;20000,$E12*0.1,$E12&gt;10000,$E12*0.05,TRUE,0)</f>
        <v>3392</v>
      </c>
      <c r="I12" s="11">
        <f t="shared" si="0"/>
        <v>30528</v>
      </c>
      <c r="J12" s="6" t="str">
        <f t="shared" si="1"/>
        <v>Eligible</v>
      </c>
      <c r="L12" s="17" t="s">
        <v>118</v>
      </c>
      <c r="M12" s="1" cm="1">
        <f t="array" ref="M12">INDEX(I2:I21, MATCH(1, (D2:D21=L11) * (MONTH(F2:F21)=M11), 0))</f>
        <v>18769.150000000001</v>
      </c>
      <c r="P12" s="4"/>
      <c r="R12" s="13"/>
      <c r="S12" s="4"/>
      <c r="T12" s="4"/>
    </row>
    <row r="13" spans="1:20" x14ac:dyDescent="0.25">
      <c r="A13" s="6">
        <v>2012</v>
      </c>
      <c r="B13" s="6" t="s">
        <v>24</v>
      </c>
      <c r="C13" s="6" t="s">
        <v>16</v>
      </c>
      <c r="D13" s="6" t="s">
        <v>25</v>
      </c>
      <c r="E13" s="7">
        <v>35611</v>
      </c>
      <c r="F13" s="8">
        <v>45092</v>
      </c>
      <c r="G13" s="9" t="str" cm="1">
        <f t="array" ref="G13">_xlfn.IFS($E13&gt;40000,"15%",$E13&gt;20000,"10%",$E13&gt;10000,"5%",TRUE, "0%")</f>
        <v>10%</v>
      </c>
      <c r="H13" s="10" cm="1">
        <f t="array" ref="H13">_xlfn.IFS($E13&gt;40000,$E13*0.15,$E13&gt;20000,$E13*0.1,$E13&gt;10000,$E13*0.05,TRUE,0)</f>
        <v>3561.1000000000004</v>
      </c>
      <c r="I13" s="11">
        <f t="shared" si="0"/>
        <v>32049.9</v>
      </c>
      <c r="J13" s="6" t="str">
        <f t="shared" si="1"/>
        <v>Eligible</v>
      </c>
      <c r="P13" s="4"/>
      <c r="R13" s="13"/>
      <c r="S13" s="4"/>
      <c r="T13" s="4"/>
    </row>
    <row r="14" spans="1:20" x14ac:dyDescent="0.25">
      <c r="A14" s="6">
        <v>2013</v>
      </c>
      <c r="B14" s="6" t="s">
        <v>26</v>
      </c>
      <c r="C14" s="6" t="s">
        <v>14</v>
      </c>
      <c r="D14" s="6" t="s">
        <v>27</v>
      </c>
      <c r="E14" s="7">
        <v>15560</v>
      </c>
      <c r="F14" s="8">
        <v>45107</v>
      </c>
      <c r="G14" s="9" t="str" cm="1">
        <f t="array" ref="G14">_xlfn.IFS($E14&gt;40000,"15%",$E14&gt;20000,"10%",$E14&gt;10000,"5%",TRUE, "0%")</f>
        <v>5%</v>
      </c>
      <c r="H14" s="10" cm="1">
        <f t="array" ref="H14">_xlfn.IFS($E14&gt;40000,$E14*0.15,$E14&gt;20000,$E14*0.1,$E14&gt;10000,$E14*0.05,TRUE,0)</f>
        <v>778</v>
      </c>
      <c r="I14" s="11">
        <f t="shared" si="0"/>
        <v>14782</v>
      </c>
      <c r="J14" s="6" t="str">
        <f t="shared" si="1"/>
        <v>Eligible</v>
      </c>
      <c r="L14" s="35" t="s">
        <v>125</v>
      </c>
      <c r="M14" s="35"/>
      <c r="P14" s="4"/>
      <c r="R14" s="13"/>
      <c r="S14" s="4"/>
      <c r="T14" s="4"/>
    </row>
    <row r="15" spans="1:20" x14ac:dyDescent="0.25">
      <c r="A15" s="6">
        <v>2014</v>
      </c>
      <c r="B15" s="6" t="s">
        <v>26</v>
      </c>
      <c r="C15" s="6" t="s">
        <v>7</v>
      </c>
      <c r="D15" s="6" t="s">
        <v>28</v>
      </c>
      <c r="E15" s="7">
        <v>7283</v>
      </c>
      <c r="F15" s="8">
        <v>45122</v>
      </c>
      <c r="G15" s="9" t="str" cm="1">
        <f t="array" ref="G15">_xlfn.IFS($E15&gt;40000,"15%",$E15&gt;20000,"10%",$E15&gt;10000,"5%",TRUE, "0%")</f>
        <v>0%</v>
      </c>
      <c r="H15" s="10" cm="1">
        <f t="array" ref="H15">_xlfn.IFS($E15&gt;40000,$E15*0.15,$E15&gt;20000,$E15*0.1,$E15&gt;10000,$E15*0.05,TRUE,0)</f>
        <v>0</v>
      </c>
      <c r="I15" s="11">
        <f t="shared" si="0"/>
        <v>7283</v>
      </c>
      <c r="J15" s="6" t="str">
        <f>IF(OR(E15 &gt; 10000, B15 = "Keyboard", B15 = "Mouse"), "Eligible", "Not Eligible")</f>
        <v>Not Eligible</v>
      </c>
      <c r="L15" s="17" t="s">
        <v>13</v>
      </c>
      <c r="M15" s="1">
        <f>_xlfn.XLOOKUP(L15, D2:D21, H2:H21, "Not Found")</f>
        <v>2367.2000000000003</v>
      </c>
      <c r="N15" s="4"/>
      <c r="O15" s="4"/>
      <c r="P15" s="4"/>
      <c r="R15" s="13"/>
      <c r="S15" s="4"/>
      <c r="T15" s="4"/>
    </row>
    <row r="16" spans="1:20" x14ac:dyDescent="0.25">
      <c r="A16" s="6">
        <v>2015</v>
      </c>
      <c r="B16" s="6" t="s">
        <v>26</v>
      </c>
      <c r="C16" s="6" t="s">
        <v>14</v>
      </c>
      <c r="D16" s="6" t="s">
        <v>29</v>
      </c>
      <c r="E16" s="7">
        <v>15678</v>
      </c>
      <c r="F16" s="8">
        <v>45137</v>
      </c>
      <c r="G16" s="9" t="str" cm="1">
        <f t="array" ref="G16">_xlfn.IFS($E16&gt;40000,"15%",$E16&gt;20000,"10%",$E16&gt;10000,"5%",TRUE, "0%")</f>
        <v>5%</v>
      </c>
      <c r="H16" s="10" cm="1">
        <f t="array" ref="H16">_xlfn.IFS($E16&gt;40000,$E16*0.15,$E16&gt;20000,$E16*0.1,$E16&gt;10000,$E16*0.05,TRUE,0)</f>
        <v>783.90000000000009</v>
      </c>
      <c r="I16" s="11">
        <f t="shared" si="0"/>
        <v>14894.1</v>
      </c>
      <c r="J16" s="6" t="str">
        <f t="shared" si="1"/>
        <v>Eligible</v>
      </c>
      <c r="O16" s="4"/>
      <c r="P16" s="4"/>
      <c r="R16" s="13"/>
      <c r="S16" s="4"/>
      <c r="T16" s="4"/>
    </row>
    <row r="17" spans="1:20" x14ac:dyDescent="0.25">
      <c r="A17" s="6">
        <v>2016</v>
      </c>
      <c r="B17" s="6" t="s">
        <v>12</v>
      </c>
      <c r="C17" s="6" t="s">
        <v>14</v>
      </c>
      <c r="D17" s="6" t="s">
        <v>30</v>
      </c>
      <c r="E17" s="7">
        <v>5277</v>
      </c>
      <c r="F17" s="8">
        <v>45152</v>
      </c>
      <c r="G17" s="9" t="str" cm="1">
        <f t="array" ref="G17">_xlfn.IFS($E17&gt;40000,"15%",$E17&gt;20000,"10%",$E17&gt;10000,"5%",TRUE, "0%")</f>
        <v>0%</v>
      </c>
      <c r="H17" s="10" cm="1">
        <f t="array" ref="H17">_xlfn.IFS($E17&gt;40000,$E17*0.15,$E17&gt;20000,$E17*0.1,$E17&gt;10000,$E17*0.05,TRUE,0)</f>
        <v>0</v>
      </c>
      <c r="I17" s="11">
        <f t="shared" si="0"/>
        <v>5277</v>
      </c>
      <c r="J17" s="6" t="str">
        <f t="shared" si="1"/>
        <v>Eligible</v>
      </c>
      <c r="L17" s="32" t="s">
        <v>136</v>
      </c>
      <c r="M17" s="32"/>
      <c r="O17" s="4"/>
      <c r="P17" s="4"/>
      <c r="R17" s="13"/>
      <c r="S17" s="4"/>
      <c r="T17" s="4"/>
    </row>
    <row r="18" spans="1:20" x14ac:dyDescent="0.25">
      <c r="A18" s="6">
        <v>2017</v>
      </c>
      <c r="B18" s="6" t="s">
        <v>24</v>
      </c>
      <c r="C18" s="6" t="s">
        <v>16</v>
      </c>
      <c r="D18" s="6" t="s">
        <v>31</v>
      </c>
      <c r="E18" s="7">
        <v>41871</v>
      </c>
      <c r="F18" s="8">
        <v>45167</v>
      </c>
      <c r="G18" s="9" t="str" cm="1">
        <f t="array" ref="G18">_xlfn.IFS($E18&gt;40000,"15%",$E18&gt;20000,"10%",$E18&gt;10000,"5%",TRUE, "0%")</f>
        <v>15%</v>
      </c>
      <c r="H18" s="10" cm="1">
        <f t="array" ref="H18">_xlfn.IFS($E18&gt;40000,$E18*0.15,$E18&gt;20000,$E18*0.1,$E18&gt;10000,$E18*0.05,TRUE,0)</f>
        <v>6280.65</v>
      </c>
      <c r="I18" s="11">
        <f t="shared" si="0"/>
        <v>35590.35</v>
      </c>
      <c r="J18" s="6" t="str">
        <f t="shared" si="1"/>
        <v>Eligible</v>
      </c>
      <c r="L18" s="23" t="s">
        <v>89</v>
      </c>
      <c r="M18" s="1">
        <f ca="1">SUM(INDIRECT(L18))</f>
        <v>96800</v>
      </c>
      <c r="O18" s="4"/>
      <c r="P18" s="4"/>
      <c r="R18" s="13"/>
      <c r="S18" s="4"/>
      <c r="T18" s="4"/>
    </row>
    <row r="19" spans="1:20" x14ac:dyDescent="0.25">
      <c r="A19" s="6">
        <v>2018</v>
      </c>
      <c r="B19" s="6" t="s">
        <v>24</v>
      </c>
      <c r="C19" s="6" t="s">
        <v>10</v>
      </c>
      <c r="D19" s="6" t="s">
        <v>32</v>
      </c>
      <c r="E19" s="7">
        <v>38161</v>
      </c>
      <c r="F19" s="8">
        <v>45182</v>
      </c>
      <c r="G19" s="9" t="str" cm="1">
        <f t="array" ref="G19">_xlfn.IFS($E19&gt;40000,"15%",$E19&gt;20000,"10%",$E19&gt;10000,"5%",TRUE, "0%")</f>
        <v>10%</v>
      </c>
      <c r="H19" s="10" cm="1">
        <f t="array" ref="H19">_xlfn.IFS($E19&gt;40000,$E19*0.15,$E19&gt;20000,$E19*0.1,$E19&gt;10000,$E19*0.05,TRUE,0)</f>
        <v>3816.1000000000004</v>
      </c>
      <c r="I19" s="11">
        <f t="shared" si="0"/>
        <v>34344.9</v>
      </c>
      <c r="J19" s="6" t="str">
        <f t="shared" si="1"/>
        <v>Eligible</v>
      </c>
      <c r="N19" s="4"/>
      <c r="O19" s="4"/>
      <c r="P19" s="4"/>
      <c r="R19" s="13"/>
      <c r="S19" s="4"/>
      <c r="T19" s="4"/>
    </row>
    <row r="20" spans="1:20" x14ac:dyDescent="0.25">
      <c r="A20" s="6">
        <v>2019</v>
      </c>
      <c r="B20" s="6" t="s">
        <v>12</v>
      </c>
      <c r="C20" s="6" t="s">
        <v>10</v>
      </c>
      <c r="D20" s="6" t="s">
        <v>33</v>
      </c>
      <c r="E20" s="7">
        <v>30436</v>
      </c>
      <c r="F20" s="8">
        <v>45197</v>
      </c>
      <c r="G20" s="9" t="str" cm="1">
        <f t="array" ref="G20">_xlfn.IFS($E20&gt;40000,"15%",$E20&gt;20000,"10%",$E20&gt;10000,"5%",TRUE, "0%")</f>
        <v>10%</v>
      </c>
      <c r="H20" s="10" cm="1">
        <f t="array" ref="H20">_xlfn.IFS($E20&gt;40000,$E20*0.15,$E20&gt;20000,$E20*0.1,$E20&gt;10000,$E20*0.05,TRUE,0)</f>
        <v>3043.6000000000004</v>
      </c>
      <c r="I20" s="11">
        <f t="shared" si="0"/>
        <v>27392.400000000001</v>
      </c>
      <c r="J20" s="6" t="str">
        <f t="shared" si="1"/>
        <v>Eligible</v>
      </c>
      <c r="L20" s="30" t="s">
        <v>138</v>
      </c>
      <c r="M20" s="30"/>
      <c r="N20" s="4"/>
      <c r="O20" s="4"/>
      <c r="P20" s="4"/>
      <c r="R20" s="13"/>
      <c r="S20" s="4"/>
      <c r="T20" s="4"/>
    </row>
    <row r="21" spans="1:20" x14ac:dyDescent="0.25">
      <c r="A21" s="6">
        <v>2020</v>
      </c>
      <c r="B21" s="6" t="s">
        <v>9</v>
      </c>
      <c r="C21" s="6" t="s">
        <v>10</v>
      </c>
      <c r="D21" s="6" t="s">
        <v>34</v>
      </c>
      <c r="E21" s="7">
        <v>33953</v>
      </c>
      <c r="F21" s="8">
        <v>45212</v>
      </c>
      <c r="G21" s="9" t="str" cm="1">
        <f t="array" ref="G21">_xlfn.IFS($E21&gt;40000,"15%",$E21&gt;20000,"10%",$E21&gt;10000,"5%",TRUE, "0%")</f>
        <v>10%</v>
      </c>
      <c r="H21" s="10" cm="1">
        <f t="array" ref="H21">_xlfn.IFS($E21&gt;40000,$E21*0.15,$E21&gt;20000,$E21*0.1,$E21&gt;10000,$E21*0.05,TRUE,0)</f>
        <v>3395.3</v>
      </c>
      <c r="I21" s="11">
        <f t="shared" si="0"/>
        <v>30557.7</v>
      </c>
      <c r="J21" s="6" t="str">
        <f t="shared" si="1"/>
        <v>Eligible</v>
      </c>
      <c r="L21" s="22">
        <v>2005</v>
      </c>
      <c r="M21" s="22">
        <f>VLOOKUP(L21,A2:H21,8,FALSE)</f>
        <v>6508.2</v>
      </c>
      <c r="P21" s="4"/>
      <c r="R21" s="13"/>
      <c r="S21" s="4"/>
      <c r="T21" s="15"/>
    </row>
    <row r="24" spans="1:20" x14ac:dyDescent="0.25">
      <c r="A24" s="21" t="s">
        <v>127</v>
      </c>
      <c r="B24" s="21" t="s">
        <v>126</v>
      </c>
      <c r="C24" s="21" t="s">
        <v>128</v>
      </c>
      <c r="E24" s="19" t="s">
        <v>135</v>
      </c>
      <c r="F24" s="19" t="s">
        <v>134</v>
      </c>
      <c r="G24" s="19" t="s">
        <v>133</v>
      </c>
      <c r="I24" s="32" t="s">
        <v>137</v>
      </c>
      <c r="J24" s="32"/>
    </row>
    <row r="25" spans="1:20" ht="30" x14ac:dyDescent="0.25">
      <c r="A25" s="1" t="str">
        <f>LEFT(B2, FIND("b", B2)-1)</f>
        <v>Key</v>
      </c>
      <c r="B25" s="1" t="str">
        <f>UPPER(B8)</f>
        <v>MOUSE</v>
      </c>
      <c r="C25" s="1" t="str">
        <f>LOWER(B3)</f>
        <v>printer</v>
      </c>
      <c r="E25" s="23">
        <f>ROUND(I8,1)</f>
        <v>28852.2</v>
      </c>
      <c r="F25" s="1">
        <f>CEILING(I7,10)</f>
        <v>18770</v>
      </c>
      <c r="G25" s="1">
        <f>FLOOR(I18,10)</f>
        <v>35590</v>
      </c>
      <c r="I25" s="24" t="s">
        <v>132</v>
      </c>
      <c r="J25" s="22">
        <f ca="1">SUM(OFFSET(E2,0,0,COUNTA(E2:E21),1))</f>
        <v>507725</v>
      </c>
    </row>
  </sheetData>
  <mergeCells count="7">
    <mergeCell ref="L3:M3"/>
    <mergeCell ref="L20:M20"/>
    <mergeCell ref="L10:M10"/>
    <mergeCell ref="L17:M17"/>
    <mergeCell ref="I24:J24"/>
    <mergeCell ref="L7:M7"/>
    <mergeCell ref="L14:M14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F3FF-8CBD-40B3-8DBA-EF9F833506BE}">
  <sheetPr>
    <tabColor rgb="FFFF99CC"/>
  </sheetPr>
  <dimension ref="A1:H21"/>
  <sheetViews>
    <sheetView tabSelected="1" zoomScaleNormal="100" workbookViewId="0">
      <selection activeCell="H15" sqref="H15"/>
    </sheetView>
  </sheetViews>
  <sheetFormatPr defaultColWidth="18.140625" defaultRowHeight="15" x14ac:dyDescent="0.25"/>
  <cols>
    <col min="1" max="1" width="16" customWidth="1"/>
    <col min="3" max="3" width="16.28515625" customWidth="1"/>
    <col min="5" max="5" width="15.85546875" customWidth="1"/>
    <col min="8" max="8" width="21" customWidth="1"/>
  </cols>
  <sheetData>
    <row r="1" spans="1:8" ht="19.899999999999999" customHeight="1" x14ac:dyDescent="0.25">
      <c r="A1" s="5" t="s">
        <v>35</v>
      </c>
      <c r="B1" s="5" t="s">
        <v>36</v>
      </c>
      <c r="C1" s="5" t="s">
        <v>37</v>
      </c>
      <c r="D1" s="5" t="s">
        <v>38</v>
      </c>
      <c r="E1" s="5" t="s">
        <v>39</v>
      </c>
    </row>
    <row r="2" spans="1:8" x14ac:dyDescent="0.25">
      <c r="A2" s="6">
        <v>3001</v>
      </c>
      <c r="B2" s="6" t="s">
        <v>40</v>
      </c>
      <c r="C2" s="6" t="s">
        <v>41</v>
      </c>
      <c r="D2" s="6">
        <v>86766</v>
      </c>
      <c r="E2" s="8">
        <v>42005</v>
      </c>
    </row>
    <row r="3" spans="1:8" x14ac:dyDescent="0.25">
      <c r="A3" s="6">
        <v>3002</v>
      </c>
      <c r="B3" s="6" t="s">
        <v>42</v>
      </c>
      <c r="C3" s="6" t="s">
        <v>41</v>
      </c>
      <c r="D3" s="6">
        <v>31943</v>
      </c>
      <c r="E3" s="8">
        <v>42255</v>
      </c>
      <c r="G3" s="32" t="s">
        <v>124</v>
      </c>
      <c r="H3" s="32"/>
    </row>
    <row r="4" spans="1:8" x14ac:dyDescent="0.25">
      <c r="A4" s="6">
        <v>3003</v>
      </c>
      <c r="B4" s="6" t="s">
        <v>43</v>
      </c>
      <c r="C4" s="6" t="s">
        <v>44</v>
      </c>
      <c r="D4" s="6">
        <v>63374</v>
      </c>
      <c r="E4" s="8">
        <v>42505</v>
      </c>
      <c r="G4" s="1">
        <v>3011</v>
      </c>
      <c r="H4" s="1" t="s">
        <v>37</v>
      </c>
    </row>
    <row r="5" spans="1:8" x14ac:dyDescent="0.25">
      <c r="A5" s="6">
        <v>3004</v>
      </c>
      <c r="B5" s="6" t="s">
        <v>45</v>
      </c>
      <c r="C5" s="6" t="s">
        <v>41</v>
      </c>
      <c r="D5" s="6">
        <v>109972</v>
      </c>
      <c r="E5" s="8">
        <v>42755</v>
      </c>
      <c r="G5" s="19" t="s">
        <v>118</v>
      </c>
      <c r="H5" s="1" t="str">
        <f>INDEX(A2:E21, MATCH(G4, A2:A21, 0), MATCH(H4, A1:E1, 0))</f>
        <v>Finance</v>
      </c>
    </row>
    <row r="6" spans="1:8" x14ac:dyDescent="0.25">
      <c r="A6" s="6">
        <v>3005</v>
      </c>
      <c r="B6" s="6" t="s">
        <v>46</v>
      </c>
      <c r="C6" s="6" t="s">
        <v>47</v>
      </c>
      <c r="D6" s="6">
        <v>54149</v>
      </c>
      <c r="E6" s="8">
        <v>43005</v>
      </c>
    </row>
    <row r="7" spans="1:8" x14ac:dyDescent="0.25">
      <c r="A7" s="6">
        <v>3006</v>
      </c>
      <c r="B7" s="6" t="s">
        <v>48</v>
      </c>
      <c r="C7" s="6" t="s">
        <v>47</v>
      </c>
      <c r="D7" s="6">
        <v>78689</v>
      </c>
      <c r="E7" s="8">
        <v>43255</v>
      </c>
      <c r="G7" s="20" t="s">
        <v>126</v>
      </c>
      <c r="H7" s="1" t="str">
        <f>UPPER(C8)</f>
        <v>MARKETING</v>
      </c>
    </row>
    <row r="8" spans="1:8" x14ac:dyDescent="0.25">
      <c r="A8" s="6">
        <v>3007</v>
      </c>
      <c r="B8" s="6" t="s">
        <v>49</v>
      </c>
      <c r="C8" s="6" t="s">
        <v>50</v>
      </c>
      <c r="D8" s="6">
        <v>35960</v>
      </c>
      <c r="E8" s="8">
        <v>43505</v>
      </c>
      <c r="G8" s="20" t="s">
        <v>128</v>
      </c>
      <c r="H8" s="1" t="str">
        <f>LOWER(C2)</f>
        <v>finance</v>
      </c>
    </row>
    <row r="9" spans="1:8" x14ac:dyDescent="0.25">
      <c r="A9" s="6">
        <v>3008</v>
      </c>
      <c r="B9" s="6" t="s">
        <v>51</v>
      </c>
      <c r="C9" s="6" t="s">
        <v>47</v>
      </c>
      <c r="D9" s="6">
        <v>91659</v>
      </c>
      <c r="E9" s="8">
        <v>43755</v>
      </c>
      <c r="G9" s="20" t="s">
        <v>127</v>
      </c>
      <c r="H9" s="1" t="str">
        <f>LEFT(B5,3)</f>
        <v>Emp</v>
      </c>
    </row>
    <row r="10" spans="1:8" x14ac:dyDescent="0.25">
      <c r="A10" s="6">
        <v>3009</v>
      </c>
      <c r="B10" s="6" t="s">
        <v>52</v>
      </c>
      <c r="C10" s="6" t="s">
        <v>47</v>
      </c>
      <c r="D10" s="6">
        <v>90423</v>
      </c>
      <c r="E10" s="8">
        <v>44005</v>
      </c>
    </row>
    <row r="11" spans="1:8" x14ac:dyDescent="0.25">
      <c r="A11" s="6">
        <v>3010</v>
      </c>
      <c r="B11" s="6" t="s">
        <v>53</v>
      </c>
      <c r="C11" s="6" t="s">
        <v>44</v>
      </c>
      <c r="D11" s="6">
        <v>107877</v>
      </c>
      <c r="E11" s="8">
        <v>44255</v>
      </c>
      <c r="G11" s="35" t="s">
        <v>125</v>
      </c>
      <c r="H11" s="35"/>
    </row>
    <row r="12" spans="1:8" x14ac:dyDescent="0.25">
      <c r="A12" s="6">
        <v>3011</v>
      </c>
      <c r="B12" s="6" t="s">
        <v>54</v>
      </c>
      <c r="C12" s="6" t="s">
        <v>41</v>
      </c>
      <c r="D12" s="6">
        <v>107634</v>
      </c>
      <c r="E12" s="8">
        <v>44505</v>
      </c>
      <c r="G12" s="1">
        <v>3007</v>
      </c>
      <c r="H12" s="1">
        <f>_xlfn.XLOOKUP(G12, A2:A21, D2:D21, "Not Found")</f>
        <v>35960</v>
      </c>
    </row>
    <row r="13" spans="1:8" x14ac:dyDescent="0.25">
      <c r="A13" s="6">
        <v>3012</v>
      </c>
      <c r="B13" s="6" t="s">
        <v>55</v>
      </c>
      <c r="C13" s="6" t="s">
        <v>41</v>
      </c>
      <c r="D13" s="6">
        <v>35226</v>
      </c>
      <c r="E13" s="8">
        <v>44755</v>
      </c>
    </row>
    <row r="14" spans="1:8" x14ac:dyDescent="0.25">
      <c r="A14" s="6">
        <v>3013</v>
      </c>
      <c r="B14" s="6" t="s">
        <v>56</v>
      </c>
      <c r="C14" s="6" t="s">
        <v>44</v>
      </c>
      <c r="D14" s="6">
        <v>40872</v>
      </c>
      <c r="E14" s="8">
        <v>45005</v>
      </c>
      <c r="G14" s="32" t="s">
        <v>130</v>
      </c>
      <c r="H14" s="32"/>
    </row>
    <row r="15" spans="1:8" x14ac:dyDescent="0.25">
      <c r="A15" s="6">
        <v>3014</v>
      </c>
      <c r="B15" s="6" t="s">
        <v>57</v>
      </c>
      <c r="C15" s="6" t="s">
        <v>44</v>
      </c>
      <c r="D15" s="6">
        <v>55378</v>
      </c>
      <c r="E15" s="8">
        <v>45255</v>
      </c>
      <c r="G15" s="1">
        <v>3009</v>
      </c>
      <c r="H15" s="25">
        <f ca="1">TODAY() - _xlfn.XLOOKUP(G15, A2:A21, E2:E21)</f>
        <v>1997</v>
      </c>
    </row>
    <row r="16" spans="1:8" x14ac:dyDescent="0.25">
      <c r="A16" s="6">
        <v>3015</v>
      </c>
      <c r="B16" s="6" t="s">
        <v>58</v>
      </c>
      <c r="C16" s="6" t="s">
        <v>44</v>
      </c>
      <c r="D16" s="6">
        <v>63297</v>
      </c>
      <c r="E16" s="8">
        <v>45505</v>
      </c>
    </row>
    <row r="17" spans="1:8" x14ac:dyDescent="0.25">
      <c r="A17" s="6">
        <v>3016</v>
      </c>
      <c r="B17" s="6" t="s">
        <v>59</v>
      </c>
      <c r="C17" s="6" t="s">
        <v>41</v>
      </c>
      <c r="D17" s="6">
        <v>114173</v>
      </c>
      <c r="E17" s="8">
        <v>45755</v>
      </c>
      <c r="G17" s="30" t="s">
        <v>131</v>
      </c>
      <c r="H17" s="30"/>
    </row>
    <row r="18" spans="1:8" x14ac:dyDescent="0.25">
      <c r="A18" s="6">
        <v>3017</v>
      </c>
      <c r="B18" s="6" t="s">
        <v>60</v>
      </c>
      <c r="C18" s="6" t="s">
        <v>44</v>
      </c>
      <c r="D18" s="6">
        <v>86915</v>
      </c>
      <c r="E18" s="8">
        <v>46005</v>
      </c>
      <c r="G18" s="25">
        <f>E15</f>
        <v>45255</v>
      </c>
      <c r="H18" s="25">
        <f>E16</f>
        <v>45505</v>
      </c>
    </row>
    <row r="19" spans="1:8" x14ac:dyDescent="0.25">
      <c r="A19" s="6">
        <v>3018</v>
      </c>
      <c r="B19" s="6" t="s">
        <v>61</v>
      </c>
      <c r="C19" s="6" t="s">
        <v>47</v>
      </c>
      <c r="D19" s="6">
        <v>116284</v>
      </c>
      <c r="E19" s="8">
        <v>46255</v>
      </c>
      <c r="G19" s="26" t="s">
        <v>118</v>
      </c>
      <c r="H19" s="1">
        <f>ABS(H18 - G18)</f>
        <v>250</v>
      </c>
    </row>
    <row r="20" spans="1:8" x14ac:dyDescent="0.25">
      <c r="A20" s="6">
        <v>3019</v>
      </c>
      <c r="B20" s="6" t="s">
        <v>62</v>
      </c>
      <c r="C20" s="6" t="s">
        <v>50</v>
      </c>
      <c r="D20" s="6">
        <v>116283</v>
      </c>
      <c r="E20" s="8">
        <v>46505</v>
      </c>
    </row>
    <row r="21" spans="1:8" x14ac:dyDescent="0.25">
      <c r="A21" s="6">
        <v>3020</v>
      </c>
      <c r="B21" s="6" t="s">
        <v>63</v>
      </c>
      <c r="C21" s="6" t="s">
        <v>50</v>
      </c>
      <c r="D21" s="6">
        <v>99924</v>
      </c>
      <c r="E21" s="8">
        <v>46755</v>
      </c>
    </row>
  </sheetData>
  <mergeCells count="4">
    <mergeCell ref="G3:H3"/>
    <mergeCell ref="G11:H11"/>
    <mergeCell ref="G14:H14"/>
    <mergeCell ref="G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Grade</vt:lpstr>
      <vt:lpstr>Sales Data</vt:lpstr>
      <vt:lpstr>Employees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Herit Tanna</dc:creator>
  <cp:lastModifiedBy>dobariyadhruvik181@gmail.com</cp:lastModifiedBy>
  <dcterms:created xsi:type="dcterms:W3CDTF">2025-11-11T10:34:59Z</dcterms:created>
  <dcterms:modified xsi:type="dcterms:W3CDTF">2025-12-11T09:30:23Z</dcterms:modified>
</cp:coreProperties>
</file>